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mm\Downloads\"/>
    </mc:Choice>
  </mc:AlternateContent>
  <xr:revisionPtr revIDLastSave="0" documentId="8_{412285D0-9D53-49AE-B138-9D0509B5B6EE}" xr6:coauthVersionLast="47" xr6:coauthVersionMax="47" xr10:uidLastSave="{00000000-0000-0000-0000-000000000000}"/>
  <bookViews>
    <workbookView xWindow="-110" yWindow="-110" windowWidth="19420" windowHeight="10300" xr2:uid="{DAB01BFA-48FB-4008-B693-4520630F7C46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7" i="1"/>
  <c r="E18" i="1"/>
  <c r="E19" i="1"/>
  <c r="E20" i="1"/>
  <c r="E21" i="1"/>
  <c r="E22" i="1"/>
  <c r="E1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<sst xmlns="http://schemas.openxmlformats.org/spreadsheetml/2006/main" count="76" uniqueCount="39">
  <si>
    <t>Viessmann</t>
  </si>
  <si>
    <t>Spacepak</t>
  </si>
  <si>
    <t>LG</t>
  </si>
  <si>
    <t>Lochinvar</t>
  </si>
  <si>
    <t>NTI</t>
  </si>
  <si>
    <t>Leaving Water Temperature (F)</t>
  </si>
  <si>
    <t>High temp emitters</t>
  </si>
  <si>
    <t>Medium temp emitters</t>
  </si>
  <si>
    <t>Heat pump convector / fan coil / air handler</t>
  </si>
  <si>
    <t>Beseboard / Radiator</t>
  </si>
  <si>
    <t>Radiant floor</t>
  </si>
  <si>
    <t>Low temp emitters</t>
  </si>
  <si>
    <t>Cooling Capacity (F)</t>
  </si>
  <si>
    <t>Daikin UPRA043DAVK</t>
  </si>
  <si>
    <t>Heating Capacity at 131F LWT (BTU)</t>
  </si>
  <si>
    <t>Lowest Ambient operating temp</t>
  </si>
  <si>
    <t>Max. LWT</t>
  </si>
  <si>
    <t>Min. LWT at lowest ambient operating temp</t>
  </si>
  <si>
    <t>Max. Heating Capacity</t>
  </si>
  <si>
    <t>Min. Heating Capacity at lowest ambient operating temp</t>
  </si>
  <si>
    <r>
      <rPr>
        <sz val="11"/>
        <color theme="1"/>
        <rFont val="Aptos Narrow"/>
        <family val="2"/>
      </rPr>
      <t xml:space="preserve">Δ </t>
    </r>
    <r>
      <rPr>
        <sz val="11"/>
        <color theme="1"/>
        <rFont val="Aptos Narrow"/>
        <family val="2"/>
        <scheme val="minor"/>
      </rPr>
      <t>LWT (Max/Min)</t>
    </r>
  </si>
  <si>
    <t>Max. Cooling Capacity</t>
  </si>
  <si>
    <t>Min. Cooling Capacity at highest ambient</t>
  </si>
  <si>
    <r>
      <rPr>
        <sz val="11"/>
        <color theme="1"/>
        <rFont val="Aptos Narrow"/>
        <family val="2"/>
      </rPr>
      <t xml:space="preserve">Δ </t>
    </r>
    <r>
      <rPr>
        <sz val="11"/>
        <color theme="1"/>
        <rFont val="Aptos Narrow"/>
        <family val="2"/>
        <scheme val="minor"/>
      </rPr>
      <t>Heating Capacity (Max/Min)</t>
    </r>
  </si>
  <si>
    <t>Highest Ambient operating temp</t>
  </si>
  <si>
    <t>Cold climate operation</t>
  </si>
  <si>
    <t>Size</t>
  </si>
  <si>
    <t>Single fan</t>
  </si>
  <si>
    <t>Other attributes</t>
  </si>
  <si>
    <t>Sound</t>
  </si>
  <si>
    <t>No glycol</t>
  </si>
  <si>
    <t>Warrenty</t>
  </si>
  <si>
    <t>Boiler replacement</t>
  </si>
  <si>
    <t>Total amps (breaker)</t>
  </si>
  <si>
    <t>OEM heat pump</t>
  </si>
  <si>
    <t>COP A5W110</t>
  </si>
  <si>
    <t>hydro-split</t>
  </si>
  <si>
    <t>Low GWP</t>
  </si>
  <si>
    <r>
      <rPr>
        <sz val="11"/>
        <color theme="1"/>
        <rFont val="Aptos Narrow"/>
        <family val="2"/>
      </rPr>
      <t xml:space="preserve">Δ </t>
    </r>
    <r>
      <rPr>
        <sz val="11"/>
        <color theme="1"/>
        <rFont val="Aptos Narrow"/>
        <family val="2"/>
        <scheme val="minor"/>
      </rPr>
      <t>Cooling Capacity (Max/Min)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</si>
</sst>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37" fontId="0" fillId="0" borderId="4" xfId="1" applyNumberFormat="1" applyFont="1" applyBorder="1" applyAlignment="1">
      <alignment horizontal="left" vertical="center"/>
    </xf>
    <xf numFmtId="37" fontId="0" fillId="0" borderId="0" xfId="1" applyNumberFormat="1" applyFont="1" applyBorder="1" applyAlignment="1">
      <alignment horizontal="left" vertical="center"/>
    </xf>
    <xf numFmtId="37" fontId="0" fillId="0" borderId="6" xfId="1" applyNumberFormat="1" applyFont="1" applyBorder="1" applyAlignment="1">
      <alignment horizontal="left" vertical="center"/>
    </xf>
    <xf numFmtId="37" fontId="0" fillId="0" borderId="7" xfId="1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3" fontId="0" fillId="0" borderId="7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37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7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4FDB-6585-4553-8F4A-2EC3DA188D47}">
  <dimension ref="B2:L42"/>
  <sheetViews>
    <sheetView tabSelected="1" topLeftCell="A2" zoomScale="80" zoomScaleNormal="80" workbookViewId="0">
      <selection activeCell="E7" sqref="E7"/>
    </sheetView>
  </sheetViews>
  <sheetFormatPr defaultRowHeight="14.5" x14ac:dyDescent="0.35"/>
  <cols>
    <col min="2" max="6" width="30.7265625" customWidth="1"/>
    <col min="7" max="7" width="8" customWidth="1"/>
    <col min="8" max="8" width="31.54296875" customWidth="1"/>
    <col min="9" max="9" width="20.7265625" customWidth="1"/>
    <col min="10" max="10" width="30.7265625" style="13" customWidth="1"/>
    <col min="11" max="12" width="20.7265625" style="16" customWidth="1"/>
  </cols>
  <sheetData>
    <row r="2" spans="2:12" ht="30" customHeight="1" thickBot="1" x14ac:dyDescent="0.4"/>
    <row r="3" spans="2:12" ht="30" customHeight="1" x14ac:dyDescent="0.35">
      <c r="I3" s="32" t="s">
        <v>6</v>
      </c>
      <c r="J3" s="17" t="s">
        <v>7</v>
      </c>
      <c r="K3" s="26" t="s">
        <v>11</v>
      </c>
      <c r="L3" s="18"/>
    </row>
    <row r="4" spans="2:12" ht="30" customHeight="1" thickBot="1" x14ac:dyDescent="0.4">
      <c r="I4" s="19" t="s">
        <v>9</v>
      </c>
      <c r="J4" s="20" t="s">
        <v>8</v>
      </c>
      <c r="K4" s="16" t="s">
        <v>10</v>
      </c>
      <c r="L4" s="33" t="s">
        <v>25</v>
      </c>
    </row>
    <row r="5" spans="2:12" ht="30" customHeight="1" x14ac:dyDescent="0.35">
      <c r="C5" s="36" t="s">
        <v>5</v>
      </c>
      <c r="D5" s="37"/>
      <c r="E5" s="37"/>
      <c r="F5" s="38"/>
      <c r="I5" s="41" t="e" vm="1">
        <v>#VALUE!</v>
      </c>
      <c r="J5" s="39" t="e" vm="2">
        <v>#VALUE!</v>
      </c>
      <c r="K5" s="39" t="e" vm="3">
        <v>#VALUE!</v>
      </c>
      <c r="L5" s="40" t="e" vm="4">
        <v>#VALUE!</v>
      </c>
    </row>
    <row r="6" spans="2:12" s="1" customFormat="1" ht="30" customHeight="1" thickBot="1" x14ac:dyDescent="0.4">
      <c r="C6" s="22" t="s">
        <v>16</v>
      </c>
      <c r="D6" s="30" t="s">
        <v>17</v>
      </c>
      <c r="E6" s="16" t="s">
        <v>20</v>
      </c>
      <c r="F6" s="21" t="s">
        <v>15</v>
      </c>
      <c r="I6" s="41"/>
      <c r="J6" s="39"/>
      <c r="K6" s="39"/>
      <c r="L6" s="40"/>
    </row>
    <row r="7" spans="2:12" ht="30" customHeight="1" x14ac:dyDescent="0.35">
      <c r="B7" s="2" t="s">
        <v>13</v>
      </c>
      <c r="C7" s="3">
        <v>160</v>
      </c>
      <c r="D7" s="4">
        <v>150</v>
      </c>
      <c r="E7" s="42">
        <f>D7/C7</f>
        <v>0.9375</v>
      </c>
      <c r="F7" s="5">
        <v>-18</v>
      </c>
      <c r="H7" s="2" t="s">
        <v>13</v>
      </c>
      <c r="I7" s="22">
        <v>150</v>
      </c>
      <c r="J7" s="16">
        <v>150</v>
      </c>
      <c r="K7" s="16">
        <v>150</v>
      </c>
      <c r="L7" s="21">
        <v>-18.100000000000001</v>
      </c>
    </row>
    <row r="8" spans="2:12" ht="30" customHeight="1" x14ac:dyDescent="0.35">
      <c r="B8" s="14" t="s">
        <v>0</v>
      </c>
      <c r="C8" s="3">
        <v>140</v>
      </c>
      <c r="D8" s="4">
        <v>130</v>
      </c>
      <c r="E8" s="42">
        <f t="shared" ref="E8:E12" si="0">D8/C8</f>
        <v>0.9285714285714286</v>
      </c>
      <c r="F8" s="5">
        <v>-15</v>
      </c>
      <c r="H8" s="14" t="s">
        <v>0</v>
      </c>
      <c r="I8" s="22">
        <v>130</v>
      </c>
      <c r="J8" s="16">
        <v>130</v>
      </c>
      <c r="K8" s="16">
        <v>130</v>
      </c>
      <c r="L8" s="21">
        <v>-18</v>
      </c>
    </row>
    <row r="9" spans="2:12" ht="30" customHeight="1" x14ac:dyDescent="0.35">
      <c r="B9" s="14" t="s">
        <v>1</v>
      </c>
      <c r="C9" s="3">
        <v>130</v>
      </c>
      <c r="D9" s="4">
        <v>95</v>
      </c>
      <c r="E9" s="42">
        <f t="shared" si="0"/>
        <v>0.73076923076923073</v>
      </c>
      <c r="F9" s="5">
        <v>-20</v>
      </c>
      <c r="H9" s="14" t="s">
        <v>1</v>
      </c>
      <c r="I9" s="22">
        <v>95</v>
      </c>
      <c r="J9" s="16">
        <v>95</v>
      </c>
      <c r="K9" s="16">
        <v>95</v>
      </c>
      <c r="L9" s="21">
        <v>5</v>
      </c>
    </row>
    <row r="10" spans="2:12" ht="30" customHeight="1" x14ac:dyDescent="0.35">
      <c r="B10" s="14" t="s">
        <v>2</v>
      </c>
      <c r="C10" s="3">
        <v>150</v>
      </c>
      <c r="D10" s="4">
        <v>120</v>
      </c>
      <c r="E10" s="42">
        <f t="shared" si="0"/>
        <v>0.8</v>
      </c>
      <c r="F10" s="5">
        <v>-15</v>
      </c>
      <c r="H10" s="14" t="s">
        <v>2</v>
      </c>
      <c r="I10" s="22">
        <v>120</v>
      </c>
      <c r="J10" s="16">
        <v>120</v>
      </c>
      <c r="K10" s="16">
        <v>120</v>
      </c>
      <c r="L10" s="21">
        <v>5</v>
      </c>
    </row>
    <row r="11" spans="2:12" ht="30" customHeight="1" x14ac:dyDescent="0.35">
      <c r="B11" s="14" t="s">
        <v>3</v>
      </c>
      <c r="C11" s="3">
        <v>140</v>
      </c>
      <c r="D11" s="4">
        <v>120</v>
      </c>
      <c r="E11" s="42">
        <f t="shared" si="0"/>
        <v>0.8571428571428571</v>
      </c>
      <c r="F11" s="5">
        <v>-5</v>
      </c>
      <c r="H11" s="14" t="s">
        <v>3</v>
      </c>
      <c r="I11" s="22">
        <v>120</v>
      </c>
      <c r="J11" s="16">
        <v>120</v>
      </c>
      <c r="K11" s="16">
        <v>120</v>
      </c>
      <c r="L11" s="21">
        <v>5</v>
      </c>
    </row>
    <row r="12" spans="2:12" ht="30" customHeight="1" thickBot="1" x14ac:dyDescent="0.4">
      <c r="B12" s="15" t="s">
        <v>4</v>
      </c>
      <c r="C12" s="6">
        <v>140</v>
      </c>
      <c r="D12" s="7">
        <v>120</v>
      </c>
      <c r="E12" s="42">
        <f t="shared" si="0"/>
        <v>0.8571428571428571</v>
      </c>
      <c r="F12" s="8">
        <v>-15</v>
      </c>
      <c r="H12" s="15" t="s">
        <v>4</v>
      </c>
      <c r="I12" s="23">
        <v>120</v>
      </c>
      <c r="J12" s="24">
        <v>120</v>
      </c>
      <c r="K12" s="24">
        <v>120</v>
      </c>
      <c r="L12" s="25">
        <v>10</v>
      </c>
    </row>
    <row r="14" spans="2:12" ht="15" thickBot="1" x14ac:dyDescent="0.4"/>
    <row r="15" spans="2:12" ht="30" customHeight="1" x14ac:dyDescent="0.35">
      <c r="C15" s="36" t="s">
        <v>14</v>
      </c>
      <c r="D15" s="37"/>
      <c r="E15" s="37"/>
      <c r="F15" s="38"/>
      <c r="I15" s="34" t="s">
        <v>26</v>
      </c>
      <c r="J15" s="29"/>
      <c r="K15" s="26"/>
      <c r="L15" s="18"/>
    </row>
    <row r="16" spans="2:12" ht="30" customHeight="1" thickBot="1" x14ac:dyDescent="0.4">
      <c r="C16" s="19" t="s">
        <v>18</v>
      </c>
      <c r="D16" s="20" t="s">
        <v>19</v>
      </c>
      <c r="E16" s="20" t="s">
        <v>23</v>
      </c>
      <c r="F16" s="21" t="s">
        <v>15</v>
      </c>
      <c r="I16" s="22" t="s">
        <v>27</v>
      </c>
      <c r="J16" s="16" t="s">
        <v>30</v>
      </c>
      <c r="K16" s="16" t="s">
        <v>31</v>
      </c>
      <c r="L16" s="21" t="s">
        <v>32</v>
      </c>
    </row>
    <row r="17" spans="2:12" ht="30" customHeight="1" x14ac:dyDescent="0.35">
      <c r="B17" s="2" t="s">
        <v>13</v>
      </c>
      <c r="C17" s="9">
        <v>43000</v>
      </c>
      <c r="D17" s="10">
        <v>31000</v>
      </c>
      <c r="E17" s="27">
        <f>C17-D17</f>
        <v>12000</v>
      </c>
      <c r="F17" s="5">
        <v>-18</v>
      </c>
      <c r="H17" s="2" t="s">
        <v>13</v>
      </c>
      <c r="I17" s="22"/>
      <c r="J17" s="35"/>
      <c r="L17" s="21">
        <v>150</v>
      </c>
    </row>
    <row r="18" spans="2:12" ht="30" customHeight="1" x14ac:dyDescent="0.35">
      <c r="B18" s="14" t="s">
        <v>0</v>
      </c>
      <c r="C18" s="9">
        <v>41000</v>
      </c>
      <c r="D18" s="10">
        <v>10000</v>
      </c>
      <c r="E18" s="27">
        <f t="shared" ref="E18:E22" si="1">C18-D18</f>
        <v>31000</v>
      </c>
      <c r="F18" s="5">
        <v>-18</v>
      </c>
      <c r="H18" s="14" t="s">
        <v>0</v>
      </c>
      <c r="I18" s="22"/>
      <c r="J18" s="35"/>
      <c r="L18" s="21">
        <v>130</v>
      </c>
    </row>
    <row r="19" spans="2:12" ht="30" customHeight="1" x14ac:dyDescent="0.35">
      <c r="B19" s="14" t="s">
        <v>1</v>
      </c>
      <c r="C19" s="9">
        <v>40000</v>
      </c>
      <c r="D19" s="10">
        <v>18000</v>
      </c>
      <c r="E19" s="27">
        <f t="shared" si="1"/>
        <v>22000</v>
      </c>
      <c r="F19" s="5">
        <v>5</v>
      </c>
      <c r="H19" s="14" t="s">
        <v>1</v>
      </c>
      <c r="I19" s="22"/>
      <c r="J19" s="35"/>
      <c r="L19" s="21">
        <v>95</v>
      </c>
    </row>
    <row r="20" spans="2:12" ht="30" customHeight="1" x14ac:dyDescent="0.35">
      <c r="B20" s="14" t="s">
        <v>2</v>
      </c>
      <c r="C20" s="9">
        <v>41000</v>
      </c>
      <c r="D20" s="10">
        <v>38000</v>
      </c>
      <c r="E20" s="27">
        <f t="shared" si="1"/>
        <v>3000</v>
      </c>
      <c r="F20" s="5">
        <v>5</v>
      </c>
      <c r="H20" s="14" t="s">
        <v>2</v>
      </c>
      <c r="I20" s="22"/>
      <c r="J20" s="35"/>
      <c r="L20" s="21">
        <v>120</v>
      </c>
    </row>
    <row r="21" spans="2:12" ht="30" customHeight="1" x14ac:dyDescent="0.35">
      <c r="B21" s="14" t="s">
        <v>3</v>
      </c>
      <c r="C21" s="9">
        <v>40000</v>
      </c>
      <c r="D21" s="10">
        <v>26000</v>
      </c>
      <c r="E21" s="27">
        <f t="shared" si="1"/>
        <v>14000</v>
      </c>
      <c r="F21" s="5">
        <v>5</v>
      </c>
      <c r="H21" s="14" t="s">
        <v>3</v>
      </c>
      <c r="I21" s="22"/>
      <c r="J21" s="35"/>
      <c r="L21" s="21">
        <v>120</v>
      </c>
    </row>
    <row r="22" spans="2:12" ht="30" customHeight="1" thickBot="1" x14ac:dyDescent="0.4">
      <c r="B22" s="15" t="s">
        <v>4</v>
      </c>
      <c r="C22" s="11">
        <v>65000</v>
      </c>
      <c r="D22" s="12">
        <v>32000</v>
      </c>
      <c r="E22" s="28">
        <f t="shared" si="1"/>
        <v>33000</v>
      </c>
      <c r="F22" s="8">
        <v>10</v>
      </c>
      <c r="H22" s="15" t="s">
        <v>4</v>
      </c>
      <c r="I22" s="23"/>
      <c r="J22" s="31"/>
      <c r="K22" s="24"/>
      <c r="L22" s="25">
        <v>120</v>
      </c>
    </row>
    <row r="24" spans="2:12" ht="15" thickBot="1" x14ac:dyDescent="0.4"/>
    <row r="25" spans="2:12" ht="30" customHeight="1" x14ac:dyDescent="0.35">
      <c r="C25" s="36" t="s">
        <v>12</v>
      </c>
      <c r="D25" s="37"/>
      <c r="E25" s="37"/>
      <c r="F25" s="38"/>
      <c r="I25" s="34"/>
      <c r="J25" s="29"/>
      <c r="K25" s="26"/>
      <c r="L25" s="18"/>
    </row>
    <row r="26" spans="2:12" ht="30" customHeight="1" thickBot="1" x14ac:dyDescent="0.4">
      <c r="C26" s="19" t="s">
        <v>21</v>
      </c>
      <c r="D26" s="20" t="s">
        <v>22</v>
      </c>
      <c r="E26" s="20" t="s">
        <v>38</v>
      </c>
      <c r="F26" s="21" t="s">
        <v>24</v>
      </c>
      <c r="I26" s="22" t="s">
        <v>34</v>
      </c>
      <c r="J26" s="16" t="s">
        <v>36</v>
      </c>
      <c r="K26" s="16" t="s">
        <v>37</v>
      </c>
      <c r="L26" s="21"/>
    </row>
    <row r="27" spans="2:12" ht="30" customHeight="1" x14ac:dyDescent="0.35">
      <c r="B27" s="2" t="s">
        <v>13</v>
      </c>
      <c r="C27" s="9"/>
      <c r="D27" s="10"/>
      <c r="E27" s="27"/>
      <c r="F27" s="5"/>
      <c r="H27" s="2" t="s">
        <v>13</v>
      </c>
      <c r="I27" s="22"/>
      <c r="J27" s="35"/>
      <c r="L27" s="21"/>
    </row>
    <row r="28" spans="2:12" ht="30" customHeight="1" x14ac:dyDescent="0.35">
      <c r="B28" s="14" t="s">
        <v>0</v>
      </c>
      <c r="C28" s="9"/>
      <c r="D28" s="10"/>
      <c r="E28" s="27"/>
      <c r="F28" s="5"/>
      <c r="H28" s="14" t="s">
        <v>0</v>
      </c>
      <c r="I28" s="22"/>
      <c r="J28" s="35"/>
      <c r="L28" s="21"/>
    </row>
    <row r="29" spans="2:12" ht="30" customHeight="1" x14ac:dyDescent="0.35">
      <c r="B29" s="14" t="s">
        <v>1</v>
      </c>
      <c r="C29" s="9"/>
      <c r="D29" s="10"/>
      <c r="E29" s="27"/>
      <c r="F29" s="5"/>
      <c r="H29" s="14" t="s">
        <v>1</v>
      </c>
      <c r="I29" s="22"/>
      <c r="J29" s="35"/>
      <c r="L29" s="21"/>
    </row>
    <row r="30" spans="2:12" ht="30" customHeight="1" x14ac:dyDescent="0.35">
      <c r="B30" s="14" t="s">
        <v>2</v>
      </c>
      <c r="C30" s="9"/>
      <c r="D30" s="10"/>
      <c r="E30" s="27"/>
      <c r="F30" s="5"/>
      <c r="H30" s="14" t="s">
        <v>2</v>
      </c>
      <c r="I30" s="22"/>
      <c r="J30" s="35"/>
      <c r="L30" s="21"/>
    </row>
    <row r="31" spans="2:12" ht="30" customHeight="1" x14ac:dyDescent="0.35">
      <c r="B31" s="14" t="s">
        <v>3</v>
      </c>
      <c r="C31" s="9"/>
      <c r="D31" s="10"/>
      <c r="E31" s="27"/>
      <c r="F31" s="5"/>
      <c r="H31" s="14" t="s">
        <v>3</v>
      </c>
      <c r="I31" s="22"/>
      <c r="J31" s="35"/>
      <c r="L31" s="21"/>
    </row>
    <row r="32" spans="2:12" ht="30" customHeight="1" thickBot="1" x14ac:dyDescent="0.4">
      <c r="B32" s="15" t="s">
        <v>4</v>
      </c>
      <c r="C32" s="11"/>
      <c r="D32" s="12"/>
      <c r="E32" s="28"/>
      <c r="F32" s="8"/>
      <c r="H32" s="15" t="s">
        <v>4</v>
      </c>
      <c r="I32" s="23"/>
      <c r="J32" s="31"/>
      <c r="K32" s="24"/>
      <c r="L32" s="25"/>
    </row>
    <row r="34" spans="2:6" ht="15" thickBot="1" x14ac:dyDescent="0.4"/>
    <row r="35" spans="2:6" ht="30" customHeight="1" x14ac:dyDescent="0.35">
      <c r="C35" s="36" t="s">
        <v>28</v>
      </c>
      <c r="D35" s="37"/>
      <c r="E35" s="37"/>
      <c r="F35" s="38"/>
    </row>
    <row r="36" spans="2:6" ht="30" customHeight="1" thickBot="1" x14ac:dyDescent="0.4">
      <c r="C36" s="19" t="s">
        <v>29</v>
      </c>
      <c r="D36" s="20" t="s">
        <v>33</v>
      </c>
      <c r="E36" s="20" t="s">
        <v>35</v>
      </c>
      <c r="F36" s="21"/>
    </row>
    <row r="37" spans="2:6" ht="30" customHeight="1" x14ac:dyDescent="0.35">
      <c r="B37" s="2" t="s">
        <v>13</v>
      </c>
      <c r="C37" s="9"/>
      <c r="D37" s="10"/>
      <c r="E37" s="27"/>
      <c r="F37" s="5"/>
    </row>
    <row r="38" spans="2:6" ht="30" customHeight="1" x14ac:dyDescent="0.35">
      <c r="B38" s="14" t="s">
        <v>0</v>
      </c>
      <c r="C38" s="9"/>
      <c r="D38" s="10"/>
      <c r="E38" s="27"/>
      <c r="F38" s="5"/>
    </row>
    <row r="39" spans="2:6" ht="30" customHeight="1" x14ac:dyDescent="0.35">
      <c r="B39" s="14" t="s">
        <v>1</v>
      </c>
      <c r="C39" s="9"/>
      <c r="D39" s="10"/>
      <c r="E39" s="27"/>
      <c r="F39" s="5"/>
    </row>
    <row r="40" spans="2:6" ht="30" customHeight="1" x14ac:dyDescent="0.35">
      <c r="B40" s="14" t="s">
        <v>2</v>
      </c>
      <c r="C40" s="9"/>
      <c r="D40" s="10"/>
      <c r="E40" s="27"/>
      <c r="F40" s="5"/>
    </row>
    <row r="41" spans="2:6" ht="30" customHeight="1" x14ac:dyDescent="0.35">
      <c r="B41" s="14" t="s">
        <v>3</v>
      </c>
      <c r="C41" s="9"/>
      <c r="D41" s="10"/>
      <c r="E41" s="27"/>
      <c r="F41" s="5"/>
    </row>
    <row r="42" spans="2:6" ht="30" customHeight="1" thickBot="1" x14ac:dyDescent="0.4">
      <c r="B42" s="15" t="s">
        <v>4</v>
      </c>
      <c r="C42" s="11"/>
      <c r="D42" s="12"/>
      <c r="E42" s="28"/>
      <c r="F42" s="8"/>
    </row>
  </sheetData>
  <mergeCells count="8">
    <mergeCell ref="C35:F35"/>
    <mergeCell ref="K5:K6"/>
    <mergeCell ref="L5:L6"/>
    <mergeCell ref="C5:F5"/>
    <mergeCell ref="C15:F15"/>
    <mergeCell ref="C25:F25"/>
    <mergeCell ref="I5:I6"/>
    <mergeCell ref="J5:J6"/>
  </mergeCells>
  <conditionalFormatting sqref="C7:C12">
    <cfRule type="dataBar" priority="49">
      <dataBar>
        <cfvo type="num" val="90"/>
        <cfvo type="num" val="170"/>
        <color rgb="FF638EC6"/>
      </dataBar>
      <extLst>
        <ext xmlns:x14="http://schemas.microsoft.com/office/spreadsheetml/2009/9/main" uri="{B025F937-C7B1-47D3-B67F-A62EFF666E3E}">
          <x14:id>{9B737495-CB9B-4F34-9501-9249E1A5BE3E}</x14:id>
        </ext>
      </extLst>
    </cfRule>
  </conditionalFormatting>
  <conditionalFormatting sqref="C17:C22">
    <cfRule type="dataBar" priority="35">
      <dataBar>
        <cfvo type="num" val="0"/>
        <cfvo type="num" val="72000"/>
        <color rgb="FF638EC6"/>
      </dataBar>
      <extLst>
        <ext xmlns:x14="http://schemas.microsoft.com/office/spreadsheetml/2009/9/main" uri="{B025F937-C7B1-47D3-B67F-A62EFF666E3E}">
          <x14:id>{9FB85389-39FC-4B73-B450-4F451F4330E1}</x14:id>
        </ext>
      </extLst>
    </cfRule>
  </conditionalFormatting>
  <conditionalFormatting sqref="C27:C32">
    <cfRule type="dataBar" priority="15">
      <dataBar>
        <cfvo type="num" val="0"/>
        <cfvo type="num" val="72000"/>
        <color rgb="FF638EC6"/>
      </dataBar>
      <extLst>
        <ext xmlns:x14="http://schemas.microsoft.com/office/spreadsheetml/2009/9/main" uri="{B025F937-C7B1-47D3-B67F-A62EFF666E3E}">
          <x14:id>{B3060BE5-FA9F-4E64-BA60-F8EEB91F1DAC}</x14:id>
        </ext>
      </extLst>
    </cfRule>
  </conditionalFormatting>
  <conditionalFormatting sqref="C37:C42">
    <cfRule type="dataBar" priority="8">
      <dataBar>
        <cfvo type="num" val="0"/>
        <cfvo type="num" val="72000"/>
        <color rgb="FF638EC6"/>
      </dataBar>
      <extLst>
        <ext xmlns:x14="http://schemas.microsoft.com/office/spreadsheetml/2009/9/main" uri="{B025F937-C7B1-47D3-B67F-A62EFF666E3E}">
          <x14:id>{1A04D573-10B5-4D82-8885-F90628322E7E}</x14:id>
        </ext>
      </extLst>
    </cfRule>
  </conditionalFormatting>
  <conditionalFormatting sqref="D17:D22">
    <cfRule type="dataBar" priority="34">
      <dataBar>
        <cfvo type="num" val="0"/>
        <cfvo type="num" val="72000"/>
        <color rgb="FF63C384"/>
      </dataBar>
      <extLst>
        <ext xmlns:x14="http://schemas.microsoft.com/office/spreadsheetml/2009/9/main" uri="{B025F937-C7B1-47D3-B67F-A62EFF666E3E}">
          <x14:id>{E08C08B1-1E48-4013-90F7-11F0D17340B6}</x14:id>
        </ext>
      </extLst>
    </cfRule>
  </conditionalFormatting>
  <conditionalFormatting sqref="D27:D32">
    <cfRule type="dataBar" priority="14">
      <dataBar>
        <cfvo type="num" val="0"/>
        <cfvo type="num" val="72000"/>
        <color rgb="FF63C384"/>
      </dataBar>
      <extLst>
        <ext xmlns:x14="http://schemas.microsoft.com/office/spreadsheetml/2009/9/main" uri="{B025F937-C7B1-47D3-B67F-A62EFF666E3E}">
          <x14:id>{7333073D-5CF5-45F0-800F-5FF8B021BA7C}</x14:id>
        </ext>
      </extLst>
    </cfRule>
  </conditionalFormatting>
  <conditionalFormatting sqref="D37:D42">
    <cfRule type="dataBar" priority="7">
      <dataBar>
        <cfvo type="num" val="0"/>
        <cfvo type="num" val="72000"/>
        <color rgb="FF63C384"/>
      </dataBar>
      <extLst>
        <ext xmlns:x14="http://schemas.microsoft.com/office/spreadsheetml/2009/9/main" uri="{B025F937-C7B1-47D3-B67F-A62EFF666E3E}">
          <x14:id>{7E8EB9F2-8EF1-4647-9942-1EA4A094F75D}</x14:id>
        </ext>
      </extLst>
    </cfRule>
  </conditionalFormatting>
  <conditionalFormatting sqref="D7:E12">
    <cfRule type="dataBar" priority="40">
      <dataBar>
        <cfvo type="num" val="90"/>
        <cfvo type="num" val="170"/>
        <color rgb="FF63C384"/>
      </dataBar>
      <extLst>
        <ext xmlns:x14="http://schemas.microsoft.com/office/spreadsheetml/2009/9/main" uri="{B025F937-C7B1-47D3-B67F-A62EFF666E3E}">
          <x14:id>{8382EDC8-ECDE-4C2A-940B-B758BE732954}</x14:id>
        </ext>
      </extLst>
    </cfRule>
  </conditionalFormatting>
  <conditionalFormatting sqref="E7:E12">
    <cfRule type="dataBar" priority="16">
      <dataBar>
        <cfvo type="num" val="0.5"/>
        <cfvo type="num" val="1"/>
        <color rgb="FF008AEF"/>
      </dataBar>
      <extLst>
        <ext xmlns:x14="http://schemas.microsoft.com/office/spreadsheetml/2009/9/main" uri="{B025F937-C7B1-47D3-B67F-A62EFF666E3E}">
          <x14:id>{6DA42999-005F-4600-BAED-44FC8AF9751A}</x14:id>
        </ext>
      </extLst>
    </cfRule>
  </conditionalFormatting>
  <conditionalFormatting sqref="E17:E22">
    <cfRule type="dataBar" priority="18">
      <dataBar>
        <cfvo type="num" val="0"/>
        <cfvo type="num" val="35000"/>
        <color rgb="FF008AEF"/>
      </dataBar>
      <extLst>
        <ext xmlns:x14="http://schemas.microsoft.com/office/spreadsheetml/2009/9/main" uri="{B025F937-C7B1-47D3-B67F-A62EFF666E3E}">
          <x14:id>{19F03A3E-1BEB-4477-ACDB-D4A0BC5F9A5F}</x14:id>
        </ext>
      </extLst>
    </cfRule>
    <cfRule type="dataBar" priority="20">
      <dataBar>
        <cfvo type="num" val="100"/>
        <cfvo type="num" val="160"/>
        <color rgb="FF63C384"/>
      </dataBar>
      <extLst>
        <ext xmlns:x14="http://schemas.microsoft.com/office/spreadsheetml/2009/9/main" uri="{B025F937-C7B1-47D3-B67F-A62EFF666E3E}">
          <x14:id>{C6F3D08B-8CA9-4E04-B0F4-8222AB850576}</x14:id>
        </ext>
      </extLst>
    </cfRule>
  </conditionalFormatting>
  <conditionalFormatting sqref="E27:E32">
    <cfRule type="dataBar" priority="11">
      <dataBar>
        <cfvo type="num" val="0"/>
        <cfvo type="num" val="35000"/>
        <color rgb="FF008AEF"/>
      </dataBar>
      <extLst>
        <ext xmlns:x14="http://schemas.microsoft.com/office/spreadsheetml/2009/9/main" uri="{B025F937-C7B1-47D3-B67F-A62EFF666E3E}">
          <x14:id>{590A0545-6B07-46E6-91C6-905A3297A962}</x14:id>
        </ext>
      </extLst>
    </cfRule>
    <cfRule type="dataBar" priority="12">
      <dataBar>
        <cfvo type="num" val="100"/>
        <cfvo type="num" val="160"/>
        <color rgb="FF63C384"/>
      </dataBar>
      <extLst>
        <ext xmlns:x14="http://schemas.microsoft.com/office/spreadsheetml/2009/9/main" uri="{B025F937-C7B1-47D3-B67F-A62EFF666E3E}">
          <x14:id>{D5F485AE-E658-4FFC-93F8-175543883A79}</x14:id>
        </ext>
      </extLst>
    </cfRule>
  </conditionalFormatting>
  <conditionalFormatting sqref="E37:E42">
    <cfRule type="dataBar" priority="4">
      <dataBar>
        <cfvo type="num" val="0"/>
        <cfvo type="num" val="35000"/>
        <color rgb="FF008AEF"/>
      </dataBar>
      <extLst>
        <ext xmlns:x14="http://schemas.microsoft.com/office/spreadsheetml/2009/9/main" uri="{B025F937-C7B1-47D3-B67F-A62EFF666E3E}">
          <x14:id>{8D0E7F76-CAD1-4277-88CB-A3C53DDC0E9E}</x14:id>
        </ext>
      </extLst>
    </cfRule>
    <cfRule type="dataBar" priority="5">
      <dataBar>
        <cfvo type="num" val="100"/>
        <cfvo type="num" val="160"/>
        <color rgb="FF63C384"/>
      </dataBar>
      <extLst>
        <ext xmlns:x14="http://schemas.microsoft.com/office/spreadsheetml/2009/9/main" uri="{B025F937-C7B1-47D3-B67F-A62EFF666E3E}">
          <x14:id>{BBCDD582-04A5-4594-8352-A3C66C0813C7}</x14:id>
        </ext>
      </extLst>
    </cfRule>
  </conditionalFormatting>
  <conditionalFormatting sqref="F7:F12">
    <cfRule type="dataBar" priority="39">
      <dataBar>
        <cfvo type="num" val="0"/>
        <cfvo type="num" val="-25"/>
        <color rgb="FFFFB628"/>
      </dataBar>
      <extLst>
        <ext xmlns:x14="http://schemas.microsoft.com/office/spreadsheetml/2009/9/main" uri="{B025F937-C7B1-47D3-B67F-A62EFF666E3E}">
          <x14:id>{FADC2C18-6217-4EBD-ACE3-CE6E6FF4B928}</x14:id>
        </ext>
      </extLst>
    </cfRule>
  </conditionalFormatting>
  <conditionalFormatting sqref="F17:F22">
    <cfRule type="dataBar" priority="31">
      <dataBar>
        <cfvo type="num" val="-20"/>
        <cfvo type="num" val="10"/>
        <color rgb="FFFFB628"/>
      </dataBar>
      <extLst>
        <ext xmlns:x14="http://schemas.microsoft.com/office/spreadsheetml/2009/9/main" uri="{B025F937-C7B1-47D3-B67F-A62EFF666E3E}">
          <x14:id>{F789BF6E-7506-4D77-8E70-6E1D69BDD7C6}</x14:id>
        </ext>
      </extLst>
    </cfRule>
  </conditionalFormatting>
  <conditionalFormatting sqref="F27:F32">
    <cfRule type="dataBar" priority="13">
      <dataBar>
        <cfvo type="num" val="-20"/>
        <cfvo type="num" val="10"/>
        <color rgb="FFFFB628"/>
      </dataBar>
      <extLst>
        <ext xmlns:x14="http://schemas.microsoft.com/office/spreadsheetml/2009/9/main" uri="{B025F937-C7B1-47D3-B67F-A62EFF666E3E}">
          <x14:id>{3DA86725-8266-4F80-AB9E-A1A7AC462CA7}</x14:id>
        </ext>
      </extLst>
    </cfRule>
  </conditionalFormatting>
  <conditionalFormatting sqref="F37:F42">
    <cfRule type="dataBar" priority="6">
      <dataBar>
        <cfvo type="num" val="-20"/>
        <cfvo type="num" val="10"/>
        <color rgb="FFFFB628"/>
      </dataBar>
      <extLst>
        <ext xmlns:x14="http://schemas.microsoft.com/office/spreadsheetml/2009/9/main" uri="{B025F937-C7B1-47D3-B67F-A62EFF666E3E}">
          <x14:id>{516455CB-D4DA-4220-B776-DAC65FB0B367}</x14:id>
        </ext>
      </extLst>
    </cfRule>
  </conditionalFormatting>
  <conditionalFormatting sqref="I7:I12">
    <cfRule type="iconSet" priority="29">
      <iconSet showValue="0">
        <cfvo type="percent" val="0"/>
        <cfvo type="num" val="130"/>
        <cfvo type="num" val="150"/>
      </iconSet>
    </cfRule>
  </conditionalFormatting>
  <conditionalFormatting sqref="I17:I22">
    <cfRule type="iconSet" priority="22">
      <iconSet showValue="0" reverse="1">
        <cfvo type="percent" val="0"/>
        <cfvo type="num" val="-18"/>
        <cfvo type="num" val="5"/>
      </iconSet>
    </cfRule>
  </conditionalFormatting>
  <conditionalFormatting sqref="I27:I32">
    <cfRule type="iconSet" priority="2">
      <iconSet showValue="0" reverse="1">
        <cfvo type="percent" val="0"/>
        <cfvo type="num" val="-18"/>
        <cfvo type="num" val="5"/>
      </iconSet>
    </cfRule>
  </conditionalFormatting>
  <conditionalFormatting sqref="J7:J12">
    <cfRule type="iconSet" priority="28">
      <iconSet showValue="0">
        <cfvo type="percent" val="0"/>
        <cfvo type="num" val="130"/>
        <cfvo type="num" val="150"/>
      </iconSet>
    </cfRule>
  </conditionalFormatting>
  <conditionalFormatting sqref="K7:K12">
    <cfRule type="iconSet" priority="10">
      <iconSet showValue="0">
        <cfvo type="percent" val="0"/>
        <cfvo type="num" val="90"/>
        <cfvo type="num" val="100"/>
      </iconSet>
    </cfRule>
  </conditionalFormatting>
  <conditionalFormatting sqref="L7:L12">
    <cfRule type="iconSet" priority="9">
      <iconSet showValue="0" reverse="1">
        <cfvo type="percent" val="0"/>
        <cfvo type="num" val="-18"/>
        <cfvo type="num" val="5"/>
      </iconSet>
    </cfRule>
  </conditionalFormatting>
  <conditionalFormatting sqref="L17:L22">
    <cfRule type="iconSet" priority="3">
      <iconSet showValue="0">
        <cfvo type="percent" val="0"/>
        <cfvo type="num" val="130"/>
        <cfvo type="num" val="150"/>
      </iconSet>
    </cfRule>
  </conditionalFormatting>
  <conditionalFormatting sqref="L27:L32">
    <cfRule type="iconSet" priority="1">
      <iconSet showValue="0">
        <cfvo type="percent" val="0"/>
        <cfvo type="num" val="130"/>
        <cfvo type="num" val="15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737495-CB9B-4F34-9501-9249E1A5BE3E}">
            <x14:dataBar minLength="0" maxLength="100" gradient="0">
              <x14:cfvo type="num">
                <xm:f>90</xm:f>
              </x14:cfvo>
              <x14:cfvo type="num">
                <xm:f>170</xm:f>
              </x14:cfvo>
              <x14:negativeFillColor rgb="FFFF0000"/>
              <x14:axisColor rgb="FF000000"/>
            </x14:dataBar>
          </x14:cfRule>
          <xm:sqref>C7:C12</xm:sqref>
        </x14:conditionalFormatting>
        <x14:conditionalFormatting xmlns:xm="http://schemas.microsoft.com/office/excel/2006/main">
          <x14:cfRule type="dataBar" id="{9FB85389-39FC-4B73-B450-4F451F4330E1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C17:C22</xm:sqref>
        </x14:conditionalFormatting>
        <x14:conditionalFormatting xmlns:xm="http://schemas.microsoft.com/office/excel/2006/main">
          <x14:cfRule type="dataBar" id="{B3060BE5-FA9F-4E64-BA60-F8EEB91F1DAC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C27:C32</xm:sqref>
        </x14:conditionalFormatting>
        <x14:conditionalFormatting xmlns:xm="http://schemas.microsoft.com/office/excel/2006/main">
          <x14:cfRule type="dataBar" id="{1A04D573-10B5-4D82-8885-F90628322E7E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C37:C42</xm:sqref>
        </x14:conditionalFormatting>
        <x14:conditionalFormatting xmlns:xm="http://schemas.microsoft.com/office/excel/2006/main">
          <x14:cfRule type="dataBar" id="{E08C08B1-1E48-4013-90F7-11F0D17340B6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D17:D22</xm:sqref>
        </x14:conditionalFormatting>
        <x14:conditionalFormatting xmlns:xm="http://schemas.microsoft.com/office/excel/2006/main">
          <x14:cfRule type="dataBar" id="{7333073D-5CF5-45F0-800F-5FF8B021BA7C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D27:D32</xm:sqref>
        </x14:conditionalFormatting>
        <x14:conditionalFormatting xmlns:xm="http://schemas.microsoft.com/office/excel/2006/main">
          <x14:cfRule type="dataBar" id="{7E8EB9F2-8EF1-4647-9942-1EA4A094F75D}">
            <x14:dataBar minLength="0" maxLength="100" gradient="0">
              <x14:cfvo type="num">
                <xm:f>0</xm:f>
              </x14:cfvo>
              <x14:cfvo type="num">
                <xm:f>72000</xm:f>
              </x14:cfvo>
              <x14:negativeFillColor rgb="FFFF0000"/>
              <x14:axisColor rgb="FF000000"/>
            </x14:dataBar>
          </x14:cfRule>
          <xm:sqref>D37:D42</xm:sqref>
        </x14:conditionalFormatting>
        <x14:conditionalFormatting xmlns:xm="http://schemas.microsoft.com/office/excel/2006/main">
          <x14:cfRule type="dataBar" id="{8382EDC8-ECDE-4C2A-940B-B758BE732954}">
            <x14:dataBar minLength="0" maxLength="100" gradient="0">
              <x14:cfvo type="num">
                <xm:f>90</xm:f>
              </x14:cfvo>
              <x14:cfvo type="num">
                <xm:f>170</xm:f>
              </x14:cfvo>
              <x14:negativeFillColor rgb="FFFF0000"/>
              <x14:axisColor rgb="FF000000"/>
            </x14:dataBar>
          </x14:cfRule>
          <xm:sqref>D7:E12</xm:sqref>
        </x14:conditionalFormatting>
        <x14:conditionalFormatting xmlns:xm="http://schemas.microsoft.com/office/excel/2006/main">
          <x14:cfRule type="dataBar" id="{6DA42999-005F-4600-BAED-44FC8AF9751A}">
            <x14:dataBar minLength="0" maxLength="100" gradient="0">
              <x14:cfvo type="num">
                <xm:f>0.5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E7:E12</xm:sqref>
        </x14:conditionalFormatting>
        <x14:conditionalFormatting xmlns:xm="http://schemas.microsoft.com/office/excel/2006/main">
          <x14:cfRule type="dataBar" id="{19F03A3E-1BEB-4477-ACDB-D4A0BC5F9A5F}">
            <x14:dataBar minLength="0" maxLength="100" gradient="0" negativeBarColorSameAsPositive="1">
              <x14:cfvo type="num">
                <xm:f>0</xm:f>
              </x14:cfvo>
              <x14:cfvo type="num">
                <xm:f>35000</xm:f>
              </x14:cfvo>
              <x14:axisColor rgb="FF000000"/>
            </x14:dataBar>
          </x14:cfRule>
          <x14:cfRule type="dataBar" id="{C6F3D08B-8CA9-4E04-B0F4-8222AB850576}">
            <x14:dataBar minLength="0" maxLength="100" gradient="0">
              <x14:cfvo type="num">
                <xm:f>100</xm:f>
              </x14:cfvo>
              <x14:cfvo type="num">
                <xm:f>160</xm:f>
              </x14:cfvo>
              <x14:negativeFillColor rgb="FFFF0000"/>
              <x14:axisColor rgb="FF000000"/>
            </x14:dataBar>
          </x14:cfRule>
          <xm:sqref>E17:E22</xm:sqref>
        </x14:conditionalFormatting>
        <x14:conditionalFormatting xmlns:xm="http://schemas.microsoft.com/office/excel/2006/main">
          <x14:cfRule type="dataBar" id="{590A0545-6B07-46E6-91C6-905A3297A962}">
            <x14:dataBar minLength="0" maxLength="100" gradient="0" negativeBarColorSameAsPositive="1">
              <x14:cfvo type="num">
                <xm:f>0</xm:f>
              </x14:cfvo>
              <x14:cfvo type="num">
                <xm:f>35000</xm:f>
              </x14:cfvo>
              <x14:axisColor rgb="FF000000"/>
            </x14:dataBar>
          </x14:cfRule>
          <x14:cfRule type="dataBar" id="{D5F485AE-E658-4FFC-93F8-175543883A79}">
            <x14:dataBar minLength="0" maxLength="100" gradient="0">
              <x14:cfvo type="num">
                <xm:f>100</xm:f>
              </x14:cfvo>
              <x14:cfvo type="num">
                <xm:f>160</xm:f>
              </x14:cfvo>
              <x14:negativeFillColor rgb="FFFF0000"/>
              <x14:axisColor rgb="FF000000"/>
            </x14:dataBar>
          </x14:cfRule>
          <xm:sqref>E27:E32</xm:sqref>
        </x14:conditionalFormatting>
        <x14:conditionalFormatting xmlns:xm="http://schemas.microsoft.com/office/excel/2006/main">
          <x14:cfRule type="dataBar" id="{8D0E7F76-CAD1-4277-88CB-A3C53DDC0E9E}">
            <x14:dataBar minLength="0" maxLength="100" gradient="0" negativeBarColorSameAsPositive="1">
              <x14:cfvo type="num">
                <xm:f>0</xm:f>
              </x14:cfvo>
              <x14:cfvo type="num">
                <xm:f>35000</xm:f>
              </x14:cfvo>
              <x14:axisColor rgb="FF000000"/>
            </x14:dataBar>
          </x14:cfRule>
          <x14:cfRule type="dataBar" id="{BBCDD582-04A5-4594-8352-A3C66C0813C7}">
            <x14:dataBar minLength="0" maxLength="100" gradient="0">
              <x14:cfvo type="num">
                <xm:f>100</xm:f>
              </x14:cfvo>
              <x14:cfvo type="num">
                <xm:f>160</xm:f>
              </x14:cfvo>
              <x14:negativeFillColor rgb="FFFF0000"/>
              <x14:axisColor rgb="FF000000"/>
            </x14:dataBar>
          </x14:cfRule>
          <xm:sqref>E37:E42</xm:sqref>
        </x14:conditionalFormatting>
        <x14:conditionalFormatting xmlns:xm="http://schemas.microsoft.com/office/excel/2006/main">
          <x14:cfRule type="dataBar" id="{FADC2C18-6217-4EBD-ACE3-CE6E6FF4B928}">
            <x14:dataBar minLength="0" maxLength="100" gradient="0" negativeBarColorSameAsPositive="1">
              <x14:cfvo type="num">
                <xm:f>0</xm:f>
              </x14:cfvo>
              <x14:cfvo type="num">
                <xm:f>-25</xm:f>
              </x14:cfvo>
              <x14:axisColor rgb="FF000000"/>
            </x14:dataBar>
          </x14:cfRule>
          <xm:sqref>F7:F12</xm:sqref>
        </x14:conditionalFormatting>
        <x14:conditionalFormatting xmlns:xm="http://schemas.microsoft.com/office/excel/2006/main">
          <x14:cfRule type="dataBar" id="{F789BF6E-7506-4D77-8E70-6E1D69BDD7C6}">
            <x14:dataBar minLength="0" maxLength="100" gradient="0" negativeBarColorSameAsPositive="1">
              <x14:cfvo type="num">
                <xm:f>-20</xm:f>
              </x14:cfvo>
              <x14:cfvo type="num">
                <xm:f>10</xm:f>
              </x14:cfvo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3DA86725-8266-4F80-AB9E-A1A7AC462CA7}">
            <x14:dataBar minLength="0" maxLength="100" gradient="0" negativeBarColorSameAsPositive="1">
              <x14:cfvo type="num">
                <xm:f>-20</xm:f>
              </x14:cfvo>
              <x14:cfvo type="num">
                <xm:f>10</xm:f>
              </x14:cfvo>
              <x14:axisColor rgb="FF000000"/>
            </x14:dataBar>
          </x14:cfRule>
          <xm:sqref>F27:F32</xm:sqref>
        </x14:conditionalFormatting>
        <x14:conditionalFormatting xmlns:xm="http://schemas.microsoft.com/office/excel/2006/main">
          <x14:cfRule type="dataBar" id="{516455CB-D4DA-4220-B776-DAC65FB0B367}">
            <x14:dataBar minLength="0" maxLength="100" gradient="0" negativeBarColorSameAsPositive="1">
              <x14:cfvo type="num">
                <xm:f>-20</xm:f>
              </x14:cfvo>
              <x14:cfvo type="num">
                <xm:f>10</xm:f>
              </x14:cfvo>
              <x14:axisColor rgb="FF000000"/>
            </x14:dataBar>
          </x14:cfRule>
          <xm:sqref>F37:F42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>Goodman MFG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Reek, Edwin</dc:creator>
  <cp:lastModifiedBy>Daniel, Manas</cp:lastModifiedBy>
  <dcterms:created xsi:type="dcterms:W3CDTF">2025-12-10T19:26:28Z</dcterms:created>
  <dcterms:modified xsi:type="dcterms:W3CDTF">2025-12-15T21:22:52Z</dcterms:modified>
</cp:coreProperties>
</file>